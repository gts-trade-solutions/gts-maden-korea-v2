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ource Rates" sheetId="2" state="visible" r:id="rId4"/>
    <sheet name="Rates in KRW" sheetId="3" state="visible" r:id="rId5"/>
    <sheet name="Rates in INR" sheetId="4" state="visible" r:id="rId6"/>
    <sheet name="Customer Price (INR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<sst xmlns="http://schemas.openxmlformats.org/spreadsheetml/2006/main" count="205" uniqueCount="65">
  <si>
    <t xml:space="preserve">Assumptions &amp; Configuration</t>
  </si>
  <si>
    <t xml:space="preserve">FX Rates (to KRW)</t>
  </si>
  <si>
    <t xml:space="preserve">1 USD =</t>
  </si>
  <si>
    <t xml:space="preserve">KRW</t>
  </si>
  <si>
    <t xml:space="preserve">1 EUR =</t>
  </si>
  <si>
    <t xml:space="preserve">1 GBP =</t>
  </si>
  <si>
    <t xml:space="preserve">1 KRW =</t>
  </si>
  <si>
    <t xml:space="preserve">INR</t>
  </si>
  <si>
    <t xml:space="preserve">Cost Buffer %</t>
  </si>
  <si>
    <t xml:space="preserve">Buffer over EMS cost =</t>
  </si>
  <si>
    <t xml:space="preserve">applied to customer-facing rates</t>
  </si>
  <si>
    <t xml:space="preserve">Shipping cap</t>
  </si>
  <si>
    <t xml:space="preserve">Max chargeable weight =</t>
  </si>
  <si>
    <t xml:space="preserve">kg</t>
  </si>
  <si>
    <t xml:space="preserve">Notes</t>
  </si>
  <si>
    <t xml:space="preserve">1. Source rates from koreanbro.com (Korea Post EMS forwarder). Includes ~8% forwarder service fee.</t>
  </si>
  <si>
    <t xml:space="preserve">2. Direct Korea EMS rates (without forwarder margin) will be slightly lower. Verify each rate on:</t>
  </si>
  <si>
    <t xml:space="preserve">   https://ems.epost.go.kr/front.EmsDeliveryDelivery09.postal before going live.</t>
  </si>
  <si>
    <t xml:space="preserve">3. FX rates as of May 2026. Update cells B4:B7 with current rates when needed.</t>
  </si>
  <si>
    <t xml:space="preserve">4. Buffer (cell B10) is the markup over EMS cost to cover packaging, FX swings, and surprises.</t>
  </si>
  <si>
    <t xml:space="preserve">5. Italy/Poland/Portugal/Qatar/UAE use Region 3 rates (forwarder's Europe/ME bucket).</t>
  </si>
  <si>
    <t xml:space="preserve">6. South Africa/Tanzania/Nigeria use Region 4 rates (forwarder's Africa bucket).</t>
  </si>
  <si>
    <t xml:space="preserve">7. France/Germany/Spain/USA/UK/Vietnam have dedicated country rates from the forwarder.</t>
  </si>
  <si>
    <t xml:space="preserve">8. Yellow cells = inputs you can change. Blue text = hardcoded input. Black text = formula.</t>
  </si>
  <si>
    <t xml:space="preserve">EMS Rates — Source (Native Currency)</t>
  </si>
  <si>
    <t xml:space="preserve">Source: koreanbro.com Korea Post EMS rates. Apply FX from Assumptions to convert.</t>
  </si>
  <si>
    <t xml:space="preserve">Country</t>
  </si>
  <si>
    <t xml:space="preserve">Currency</t>
  </si>
  <si>
    <t xml:space="preserve">Rate Notes</t>
  </si>
  <si>
    <t xml:space="preserve">0.5 kg</t>
  </si>
  <si>
    <t xml:space="preserve">1.0 kg</t>
  </si>
  <si>
    <t xml:space="preserve">2.0 kg</t>
  </si>
  <si>
    <t xml:space="preserve">3.0 kg</t>
  </si>
  <si>
    <t xml:space="preserve">5.0 kg</t>
  </si>
  <si>
    <t xml:space="preserve">7.0 kg</t>
  </si>
  <si>
    <t xml:space="preserve">10.0 kg</t>
  </si>
  <si>
    <t xml:space="preserve">15.0 kg</t>
  </si>
  <si>
    <t xml:space="preserve">20.0 kg</t>
  </si>
  <si>
    <t xml:space="preserve">United States</t>
  </si>
  <si>
    <t xml:space="preserve">USD</t>
  </si>
  <si>
    <t xml:space="preserve">Dedicated rate</t>
  </si>
  <si>
    <t xml:space="preserve">United Kingdom</t>
  </si>
  <si>
    <t xml:space="preserve">GBP</t>
  </si>
  <si>
    <t xml:space="preserve">Vietnam</t>
  </si>
  <si>
    <t xml:space="preserve">France</t>
  </si>
  <si>
    <t xml:space="preserve">EUR</t>
  </si>
  <si>
    <t xml:space="preserve">Germany</t>
  </si>
  <si>
    <t xml:space="preserve">Spain</t>
  </si>
  <si>
    <t xml:space="preserve">Italy</t>
  </si>
  <si>
    <t xml:space="preserve">Region 3 (Europe)</t>
  </si>
  <si>
    <t xml:space="preserve">Poland</t>
  </si>
  <si>
    <t xml:space="preserve">Portugal</t>
  </si>
  <si>
    <t xml:space="preserve">Qatar</t>
  </si>
  <si>
    <t xml:space="preserve">Region 3 (Middle East)</t>
  </si>
  <si>
    <t xml:space="preserve">UAE</t>
  </si>
  <si>
    <t xml:space="preserve">South Africa</t>
  </si>
  <si>
    <t xml:space="preserve">Region 4 (Africa)</t>
  </si>
  <si>
    <t xml:space="preserve">Tanzania</t>
  </si>
  <si>
    <t xml:space="preserve">Nigeria</t>
  </si>
  <si>
    <t xml:space="preserve">EMS Rates — Converted to KRW (Korean Won)</t>
  </si>
  <si>
    <t xml:space="preserve">Original currency from Korea Post. Formulas: source rate × FX rate from Assumptions sheet.</t>
  </si>
  <si>
    <t xml:space="preserve">EMS Rates — Converted to INR (Indian Rupees)</t>
  </si>
  <si>
    <t xml:space="preserve">Base cost in INR (no buffer). Formula: KRW rate × KRW→INR FX from Assumptions sheet.</t>
  </si>
  <si>
    <t xml:space="preserve">Customer-facing Shipping Price (INR) — INCLUDES BUFFER</t>
  </si>
  <si>
    <t xml:space="preserve">These are the values to load into your shipping_rates DB table. Formula: INR rate × (1 + buffer %).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</si>
</sst>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"/>
    <numFmt numFmtId="167" formatCode="#,##0"/>
    <numFmt numFmtId="168" formatCode="\₹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0606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1365</v>
      </c>
      <c r="C4" s="3" t="s">
        <v>3</v>
      </c>
    </row>
    <row r="5" customFormat="false" ht="15" hidden="false" customHeight="false" outlineLevel="0" collapsed="false">
      <c r="A5" s="3" t="s">
        <v>4</v>
      </c>
      <c r="B5" s="4" t="n">
        <v>1510</v>
      </c>
      <c r="C5" s="3" t="s">
        <v>3</v>
      </c>
    </row>
    <row r="6" customFormat="false" ht="15" hidden="false" customHeight="false" outlineLevel="0" collapsed="false">
      <c r="A6" s="3" t="s">
        <v>5</v>
      </c>
      <c r="B6" s="4" t="n">
        <v>1755</v>
      </c>
      <c r="C6" s="3" t="s">
        <v>3</v>
      </c>
    </row>
    <row r="7" customFormat="false" ht="15" hidden="false" customHeight="false" outlineLevel="0" collapsed="false">
      <c r="A7" s="3" t="s">
        <v>6</v>
      </c>
      <c r="B7" s="4" t="n">
        <v>0.064</v>
      </c>
      <c r="C7" s="3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3" t="s">
        <v>9</v>
      </c>
      <c r="B10" s="5" t="n">
        <v>0.2</v>
      </c>
      <c r="C10" s="6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3" t="s">
        <v>12</v>
      </c>
      <c r="B13" s="4" t="n">
        <v>20</v>
      </c>
      <c r="C13" s="3" t="s">
        <v>13</v>
      </c>
    </row>
    <row r="15" customFormat="false" ht="15" hidden="false" customHeight="false" outlineLevel="0" collapsed="false">
      <c r="A15" s="2" t="s">
        <v>14</v>
      </c>
    </row>
    <row r="16" customFormat="false" ht="15" hidden="false" customHeight="false" outlineLevel="0" collapsed="false">
      <c r="A16" s="7" t="s">
        <v>15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 t="s">
        <v>16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 t="s">
        <v>17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 t="s">
        <v>18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 t="s">
        <v>19</v>
      </c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 t="s">
        <v>20</v>
      </c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 t="s">
        <v>21</v>
      </c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 t="s">
        <v>22</v>
      </c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 t="s">
        <v>23</v>
      </c>
      <c r="B24" s="7"/>
      <c r="C24" s="7"/>
      <c r="D24" s="7"/>
      <c r="E24" s="7"/>
      <c r="F24" s="7"/>
      <c r="G24" s="7"/>
      <c r="H24" s="7"/>
    </row>
  </sheetData>
  <mergeCells count="10">
    <mergeCell ref="A1:D1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12" min="4" style="0" width="10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  <c r="L4" s="8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1" t="s">
        <v>40</v>
      </c>
      <c r="D5" s="12" t="n">
        <v>22</v>
      </c>
      <c r="E5" s="12" t="n">
        <v>28</v>
      </c>
      <c r="F5" s="12" t="n">
        <v>39</v>
      </c>
      <c r="G5" s="12" t="n">
        <v>50</v>
      </c>
      <c r="H5" s="12" t="n">
        <v>72</v>
      </c>
      <c r="I5" s="12" t="n">
        <v>95</v>
      </c>
      <c r="J5" s="12" t="n">
        <v>128</v>
      </c>
      <c r="K5" s="12" t="n">
        <v>184</v>
      </c>
      <c r="L5" s="12" t="n">
        <v>240</v>
      </c>
    </row>
    <row r="6" customFormat="false" ht="15" hidden="false" customHeight="false" outlineLevel="0" collapsed="false">
      <c r="A6" s="9" t="s">
        <v>41</v>
      </c>
      <c r="B6" s="10" t="s">
        <v>42</v>
      </c>
      <c r="C6" s="11" t="s">
        <v>40</v>
      </c>
      <c r="D6" s="12" t="n">
        <v>21</v>
      </c>
      <c r="E6" s="12" t="n">
        <v>24</v>
      </c>
      <c r="F6" s="12" t="n">
        <v>29</v>
      </c>
      <c r="G6" s="12" t="n">
        <v>33</v>
      </c>
      <c r="H6" s="12" t="n">
        <v>42</v>
      </c>
      <c r="I6" s="12" t="n">
        <v>52</v>
      </c>
      <c r="J6" s="12" t="n">
        <v>68</v>
      </c>
      <c r="K6" s="12" t="n">
        <v>95</v>
      </c>
      <c r="L6" s="12" t="n">
        <v>122</v>
      </c>
    </row>
    <row r="7" customFormat="false" ht="15" hidden="false" customHeight="false" outlineLevel="0" collapsed="false">
      <c r="A7" s="9" t="s">
        <v>43</v>
      </c>
      <c r="B7" s="10" t="s">
        <v>39</v>
      </c>
      <c r="C7" s="11" t="s">
        <v>40</v>
      </c>
      <c r="D7" s="12" t="n">
        <v>14</v>
      </c>
      <c r="E7" s="12" t="n">
        <v>16</v>
      </c>
      <c r="F7" s="12" t="n">
        <v>19</v>
      </c>
      <c r="G7" s="12" t="n">
        <v>21</v>
      </c>
      <c r="H7" s="12" t="n">
        <v>26</v>
      </c>
      <c r="I7" s="12" t="n">
        <v>31</v>
      </c>
      <c r="J7" s="12" t="n">
        <v>40</v>
      </c>
      <c r="K7" s="12" t="n">
        <v>56</v>
      </c>
      <c r="L7" s="12" t="n">
        <v>71</v>
      </c>
    </row>
    <row r="8" customFormat="false" ht="15" hidden="false" customHeight="false" outlineLevel="0" collapsed="false">
      <c r="A8" s="9" t="s">
        <v>44</v>
      </c>
      <c r="B8" s="10" t="s">
        <v>45</v>
      </c>
      <c r="C8" s="11" t="s">
        <v>40</v>
      </c>
      <c r="D8" s="12" t="n">
        <v>19.6</v>
      </c>
      <c r="E8" s="12" t="n">
        <v>22.2</v>
      </c>
      <c r="F8" s="12" t="n">
        <v>27.5</v>
      </c>
      <c r="G8" s="12" t="n">
        <v>32.4</v>
      </c>
      <c r="H8" s="12" t="n">
        <v>42.5</v>
      </c>
      <c r="I8" s="12" t="n">
        <v>53.1</v>
      </c>
      <c r="J8" s="12" t="n">
        <v>73.3</v>
      </c>
      <c r="K8" s="12" t="n">
        <v>106.4</v>
      </c>
      <c r="L8" s="12" t="n">
        <v>139.9</v>
      </c>
    </row>
    <row r="9" customFormat="false" ht="15" hidden="false" customHeight="false" outlineLevel="0" collapsed="false">
      <c r="A9" s="9" t="s">
        <v>46</v>
      </c>
      <c r="B9" s="10" t="s">
        <v>45</v>
      </c>
      <c r="C9" s="11" t="s">
        <v>40</v>
      </c>
      <c r="D9" s="12" t="n">
        <v>23</v>
      </c>
      <c r="E9" s="12" t="n">
        <v>26.3</v>
      </c>
      <c r="F9" s="12" t="n">
        <v>32.7</v>
      </c>
      <c r="G9" s="12" t="n">
        <v>38</v>
      </c>
      <c r="H9" s="12" t="n">
        <v>48.9</v>
      </c>
      <c r="I9" s="12" t="n">
        <v>60.1</v>
      </c>
      <c r="J9" s="12" t="n">
        <v>79.4</v>
      </c>
      <c r="K9" s="12" t="n">
        <v>110.9</v>
      </c>
      <c r="L9" s="12" t="n">
        <v>142.8</v>
      </c>
    </row>
    <row r="10" customFormat="false" ht="15" hidden="false" customHeight="false" outlineLevel="0" collapsed="false">
      <c r="A10" s="9" t="s">
        <v>47</v>
      </c>
      <c r="B10" s="10" t="s">
        <v>45</v>
      </c>
      <c r="C10" s="11" t="s">
        <v>40</v>
      </c>
      <c r="D10" s="12" t="n">
        <v>21</v>
      </c>
      <c r="E10" s="12" t="n">
        <v>24</v>
      </c>
      <c r="F10" s="12" t="n">
        <v>31</v>
      </c>
      <c r="G10" s="12" t="n">
        <v>37</v>
      </c>
      <c r="H10" s="12" t="n">
        <v>50</v>
      </c>
      <c r="I10" s="12" t="n">
        <v>64</v>
      </c>
      <c r="J10" s="12" t="n">
        <v>84</v>
      </c>
      <c r="K10" s="12" t="n">
        <v>117</v>
      </c>
      <c r="L10" s="12" t="n">
        <v>150</v>
      </c>
    </row>
    <row r="11" customFormat="false" ht="15" hidden="false" customHeight="false" outlineLevel="0" collapsed="false">
      <c r="A11" s="9" t="s">
        <v>48</v>
      </c>
      <c r="B11" s="10" t="s">
        <v>39</v>
      </c>
      <c r="C11" s="11" t="s">
        <v>49</v>
      </c>
      <c r="D11" s="12" t="n">
        <v>23</v>
      </c>
      <c r="E11" s="12" t="n">
        <v>26</v>
      </c>
      <c r="F11" s="12" t="n">
        <v>32</v>
      </c>
      <c r="G11" s="12" t="n">
        <v>37</v>
      </c>
      <c r="H11" s="12" t="n">
        <v>49</v>
      </c>
      <c r="I11" s="12" t="n">
        <v>62</v>
      </c>
      <c r="J11" s="12" t="n">
        <v>84</v>
      </c>
      <c r="K11" s="12" t="n">
        <v>121</v>
      </c>
      <c r="L11" s="12" t="n">
        <v>158</v>
      </c>
    </row>
    <row r="12" customFormat="false" ht="15" hidden="false" customHeight="false" outlineLevel="0" collapsed="false">
      <c r="A12" s="9" t="s">
        <v>50</v>
      </c>
      <c r="B12" s="10" t="s">
        <v>39</v>
      </c>
      <c r="C12" s="11" t="s">
        <v>49</v>
      </c>
      <c r="D12" s="12" t="n">
        <v>23</v>
      </c>
      <c r="E12" s="12" t="n">
        <v>26</v>
      </c>
      <c r="F12" s="12" t="n">
        <v>32</v>
      </c>
      <c r="G12" s="12" t="n">
        <v>37</v>
      </c>
      <c r="H12" s="12" t="n">
        <v>49</v>
      </c>
      <c r="I12" s="12" t="n">
        <v>62</v>
      </c>
      <c r="J12" s="12" t="n">
        <v>84</v>
      </c>
      <c r="K12" s="12" t="n">
        <v>121</v>
      </c>
      <c r="L12" s="12" t="n">
        <v>158</v>
      </c>
    </row>
    <row r="13" customFormat="false" ht="15" hidden="false" customHeight="false" outlineLevel="0" collapsed="false">
      <c r="A13" s="9" t="s">
        <v>51</v>
      </c>
      <c r="B13" s="10" t="s">
        <v>39</v>
      </c>
      <c r="C13" s="11" t="s">
        <v>49</v>
      </c>
      <c r="D13" s="12" t="n">
        <v>23</v>
      </c>
      <c r="E13" s="12" t="n">
        <v>26</v>
      </c>
      <c r="F13" s="12" t="n">
        <v>32</v>
      </c>
      <c r="G13" s="12" t="n">
        <v>37</v>
      </c>
      <c r="H13" s="12" t="n">
        <v>49</v>
      </c>
      <c r="I13" s="12" t="n">
        <v>62</v>
      </c>
      <c r="J13" s="12" t="n">
        <v>84</v>
      </c>
      <c r="K13" s="12" t="n">
        <v>121</v>
      </c>
      <c r="L13" s="12" t="n">
        <v>158</v>
      </c>
    </row>
    <row r="14" customFormat="false" ht="15" hidden="false" customHeight="false" outlineLevel="0" collapsed="false">
      <c r="A14" s="9" t="s">
        <v>52</v>
      </c>
      <c r="B14" s="10" t="s">
        <v>39</v>
      </c>
      <c r="C14" s="11" t="s">
        <v>53</v>
      </c>
      <c r="D14" s="12" t="n">
        <v>23</v>
      </c>
      <c r="E14" s="12" t="n">
        <v>26</v>
      </c>
      <c r="F14" s="12" t="n">
        <v>32</v>
      </c>
      <c r="G14" s="12" t="n">
        <v>37</v>
      </c>
      <c r="H14" s="12" t="n">
        <v>49</v>
      </c>
      <c r="I14" s="12" t="n">
        <v>62</v>
      </c>
      <c r="J14" s="12" t="n">
        <v>84</v>
      </c>
      <c r="K14" s="12" t="n">
        <v>121</v>
      </c>
      <c r="L14" s="12" t="n">
        <v>158</v>
      </c>
    </row>
    <row r="15" customFormat="false" ht="15" hidden="false" customHeight="false" outlineLevel="0" collapsed="false">
      <c r="A15" s="9" t="s">
        <v>54</v>
      </c>
      <c r="B15" s="10" t="s">
        <v>39</v>
      </c>
      <c r="C15" s="11" t="s">
        <v>53</v>
      </c>
      <c r="D15" s="12" t="n">
        <v>23</v>
      </c>
      <c r="E15" s="12" t="n">
        <v>26</v>
      </c>
      <c r="F15" s="12" t="n">
        <v>32</v>
      </c>
      <c r="G15" s="12" t="n">
        <v>37</v>
      </c>
      <c r="H15" s="12" t="n">
        <v>49</v>
      </c>
      <c r="I15" s="12" t="n">
        <v>62</v>
      </c>
      <c r="J15" s="12" t="n">
        <v>84</v>
      </c>
      <c r="K15" s="12" t="n">
        <v>121</v>
      </c>
      <c r="L15" s="12" t="n">
        <v>158</v>
      </c>
    </row>
    <row r="16" customFormat="false" ht="15" hidden="false" customHeight="false" outlineLevel="0" collapsed="false">
      <c r="A16" s="9" t="s">
        <v>55</v>
      </c>
      <c r="B16" s="10" t="s">
        <v>39</v>
      </c>
      <c r="C16" s="11" t="s">
        <v>56</v>
      </c>
      <c r="D16" s="12" t="n">
        <v>27.1</v>
      </c>
      <c r="E16" s="12" t="n">
        <v>32</v>
      </c>
      <c r="F16" s="12" t="n">
        <v>41.9</v>
      </c>
      <c r="G16" s="12" t="n">
        <v>50.9</v>
      </c>
      <c r="H16" s="12" t="n">
        <v>75.9</v>
      </c>
      <c r="I16" s="12" t="n">
        <v>100.9</v>
      </c>
      <c r="J16" s="12" t="n">
        <v>138.2</v>
      </c>
      <c r="K16" s="12" t="n">
        <v>200.1</v>
      </c>
      <c r="L16" s="12" t="n">
        <v>262.4</v>
      </c>
    </row>
    <row r="17" customFormat="false" ht="15" hidden="false" customHeight="false" outlineLevel="0" collapsed="false">
      <c r="A17" s="9" t="s">
        <v>57</v>
      </c>
      <c r="B17" s="10" t="s">
        <v>39</v>
      </c>
      <c r="C17" s="11" t="s">
        <v>56</v>
      </c>
      <c r="D17" s="12" t="n">
        <v>27.1</v>
      </c>
      <c r="E17" s="12" t="n">
        <v>32</v>
      </c>
      <c r="F17" s="12" t="n">
        <v>41.9</v>
      </c>
      <c r="G17" s="12" t="n">
        <v>50.9</v>
      </c>
      <c r="H17" s="12" t="n">
        <v>75.9</v>
      </c>
      <c r="I17" s="12" t="n">
        <v>100.9</v>
      </c>
      <c r="J17" s="12" t="n">
        <v>138.2</v>
      </c>
      <c r="K17" s="12" t="n">
        <v>200.1</v>
      </c>
      <c r="L17" s="12" t="n">
        <v>262.4</v>
      </c>
    </row>
    <row r="18" customFormat="false" ht="15" hidden="false" customHeight="false" outlineLevel="0" collapsed="false">
      <c r="A18" s="9" t="s">
        <v>58</v>
      </c>
      <c r="B18" s="10" t="s">
        <v>39</v>
      </c>
      <c r="C18" s="11" t="s">
        <v>56</v>
      </c>
      <c r="D18" s="12" t="n">
        <v>27.1</v>
      </c>
      <c r="E18" s="12" t="n">
        <v>32</v>
      </c>
      <c r="F18" s="12" t="n">
        <v>41.9</v>
      </c>
      <c r="G18" s="12" t="n">
        <v>50.9</v>
      </c>
      <c r="H18" s="12" t="n">
        <v>75.9</v>
      </c>
      <c r="I18" s="12" t="n">
        <v>100.9</v>
      </c>
      <c r="J18" s="12" t="n">
        <v>138.2</v>
      </c>
      <c r="K18" s="12" t="n">
        <v>200.1</v>
      </c>
      <c r="L18" s="12" t="n">
        <v>262.4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11" min="3" style="0" width="11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60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3" t="n">
        <f aca="false">'Source Rates'!D5*Assumptions!$B$4</f>
        <v>30030</v>
      </c>
      <c r="D5" s="13" t="n">
        <f aca="false">'Source Rates'!E5*Assumptions!$B$4</f>
        <v>38220</v>
      </c>
      <c r="E5" s="13" t="n">
        <f aca="false">'Source Rates'!F5*Assumptions!$B$4</f>
        <v>53235</v>
      </c>
      <c r="F5" s="13" t="n">
        <f aca="false">'Source Rates'!G5*Assumptions!$B$4</f>
        <v>68250</v>
      </c>
      <c r="G5" s="13" t="n">
        <f aca="false">'Source Rates'!H5*Assumptions!$B$4</f>
        <v>98280</v>
      </c>
      <c r="H5" s="13" t="n">
        <f aca="false">'Source Rates'!I5*Assumptions!$B$4</f>
        <v>129675</v>
      </c>
      <c r="I5" s="13" t="n">
        <f aca="false">'Source Rates'!J5*Assumptions!$B$4</f>
        <v>174720</v>
      </c>
      <c r="J5" s="13" t="n">
        <f aca="false">'Source Rates'!K5*Assumptions!$B$4</f>
        <v>251160</v>
      </c>
      <c r="K5" s="13" t="n">
        <f aca="false">'Source Rates'!L5*Assumptions!$B$4</f>
        <v>327600</v>
      </c>
    </row>
    <row r="6" customFormat="false" ht="15" hidden="false" customHeight="false" outlineLevel="0" collapsed="false">
      <c r="A6" s="9" t="s">
        <v>41</v>
      </c>
      <c r="B6" s="10" t="s">
        <v>42</v>
      </c>
      <c r="C6" s="13" t="n">
        <f aca="false">'Source Rates'!D6*Assumptions!$B$6</f>
        <v>36855</v>
      </c>
      <c r="D6" s="13" t="n">
        <f aca="false">'Source Rates'!E6*Assumptions!$B$6</f>
        <v>42120</v>
      </c>
      <c r="E6" s="13" t="n">
        <f aca="false">'Source Rates'!F6*Assumptions!$B$6</f>
        <v>50895</v>
      </c>
      <c r="F6" s="13" t="n">
        <f aca="false">'Source Rates'!G6*Assumptions!$B$6</f>
        <v>57915</v>
      </c>
      <c r="G6" s="13" t="n">
        <f aca="false">'Source Rates'!H6*Assumptions!$B$6</f>
        <v>73710</v>
      </c>
      <c r="H6" s="13" t="n">
        <f aca="false">'Source Rates'!I6*Assumptions!$B$6</f>
        <v>91260</v>
      </c>
      <c r="I6" s="13" t="n">
        <f aca="false">'Source Rates'!J6*Assumptions!$B$6</f>
        <v>119340</v>
      </c>
      <c r="J6" s="13" t="n">
        <f aca="false">'Source Rates'!K6*Assumptions!$B$6</f>
        <v>166725</v>
      </c>
      <c r="K6" s="13" t="n">
        <f aca="false">'Source Rates'!L6*Assumptions!$B$6</f>
        <v>214110</v>
      </c>
    </row>
    <row r="7" customFormat="false" ht="15" hidden="false" customHeight="false" outlineLevel="0" collapsed="false">
      <c r="A7" s="9" t="s">
        <v>43</v>
      </c>
      <c r="B7" s="10" t="s">
        <v>39</v>
      </c>
      <c r="C7" s="13" t="n">
        <f aca="false">'Source Rates'!D7*Assumptions!$B$4</f>
        <v>19110</v>
      </c>
      <c r="D7" s="13" t="n">
        <f aca="false">'Source Rates'!E7*Assumptions!$B$4</f>
        <v>21840</v>
      </c>
      <c r="E7" s="13" t="n">
        <f aca="false">'Source Rates'!F7*Assumptions!$B$4</f>
        <v>25935</v>
      </c>
      <c r="F7" s="13" t="n">
        <f aca="false">'Source Rates'!G7*Assumptions!$B$4</f>
        <v>28665</v>
      </c>
      <c r="G7" s="13" t="n">
        <f aca="false">'Source Rates'!H7*Assumptions!$B$4</f>
        <v>35490</v>
      </c>
      <c r="H7" s="13" t="n">
        <f aca="false">'Source Rates'!I7*Assumptions!$B$4</f>
        <v>42315</v>
      </c>
      <c r="I7" s="13" t="n">
        <f aca="false">'Source Rates'!J7*Assumptions!$B$4</f>
        <v>54600</v>
      </c>
      <c r="J7" s="13" t="n">
        <f aca="false">'Source Rates'!K7*Assumptions!$B$4</f>
        <v>76440</v>
      </c>
      <c r="K7" s="13" t="n">
        <f aca="false">'Source Rates'!L7*Assumptions!$B$4</f>
        <v>96915</v>
      </c>
    </row>
    <row r="8" customFormat="false" ht="15" hidden="false" customHeight="false" outlineLevel="0" collapsed="false">
      <c r="A8" s="9" t="s">
        <v>44</v>
      </c>
      <c r="B8" s="10" t="s">
        <v>45</v>
      </c>
      <c r="C8" s="13" t="n">
        <f aca="false">'Source Rates'!D8*Assumptions!$B$5</f>
        <v>29596</v>
      </c>
      <c r="D8" s="13" t="n">
        <f aca="false">'Source Rates'!E8*Assumptions!$B$5</f>
        <v>33522</v>
      </c>
      <c r="E8" s="13" t="n">
        <f aca="false">'Source Rates'!F8*Assumptions!$B$5</f>
        <v>41525</v>
      </c>
      <c r="F8" s="13" t="n">
        <f aca="false">'Source Rates'!G8*Assumptions!$B$5</f>
        <v>48924</v>
      </c>
      <c r="G8" s="13" t="n">
        <f aca="false">'Source Rates'!H8*Assumptions!$B$5</f>
        <v>64175</v>
      </c>
      <c r="H8" s="13" t="n">
        <f aca="false">'Source Rates'!I8*Assumptions!$B$5</f>
        <v>80181</v>
      </c>
      <c r="I8" s="13" t="n">
        <f aca="false">'Source Rates'!J8*Assumptions!$B$5</f>
        <v>110683</v>
      </c>
      <c r="J8" s="13" t="n">
        <f aca="false">'Source Rates'!K8*Assumptions!$B$5</f>
        <v>160664</v>
      </c>
      <c r="K8" s="13" t="n">
        <f aca="false">'Source Rates'!L8*Assumptions!$B$5</f>
        <v>211249</v>
      </c>
    </row>
    <row r="9" customFormat="false" ht="15" hidden="false" customHeight="false" outlineLevel="0" collapsed="false">
      <c r="A9" s="9" t="s">
        <v>46</v>
      </c>
      <c r="B9" s="10" t="s">
        <v>45</v>
      </c>
      <c r="C9" s="13" t="n">
        <f aca="false">'Source Rates'!D9*Assumptions!$B$5</f>
        <v>34730</v>
      </c>
      <c r="D9" s="13" t="n">
        <f aca="false">'Source Rates'!E9*Assumptions!$B$5</f>
        <v>39713</v>
      </c>
      <c r="E9" s="13" t="n">
        <f aca="false">'Source Rates'!F9*Assumptions!$B$5</f>
        <v>49377</v>
      </c>
      <c r="F9" s="13" t="n">
        <f aca="false">'Source Rates'!G9*Assumptions!$B$5</f>
        <v>57380</v>
      </c>
      <c r="G9" s="13" t="n">
        <f aca="false">'Source Rates'!H9*Assumptions!$B$5</f>
        <v>73839</v>
      </c>
      <c r="H9" s="13" t="n">
        <f aca="false">'Source Rates'!I9*Assumptions!$B$5</f>
        <v>90751</v>
      </c>
      <c r="I9" s="13" t="n">
        <f aca="false">'Source Rates'!J9*Assumptions!$B$5</f>
        <v>119894</v>
      </c>
      <c r="J9" s="13" t="n">
        <f aca="false">'Source Rates'!K9*Assumptions!$B$5</f>
        <v>167459</v>
      </c>
      <c r="K9" s="13" t="n">
        <f aca="false">'Source Rates'!L9*Assumptions!$B$5</f>
        <v>215628</v>
      </c>
    </row>
    <row r="10" customFormat="false" ht="15" hidden="false" customHeight="false" outlineLevel="0" collapsed="false">
      <c r="A10" s="9" t="s">
        <v>47</v>
      </c>
      <c r="B10" s="10" t="s">
        <v>45</v>
      </c>
      <c r="C10" s="13" t="n">
        <f aca="false">'Source Rates'!D10*Assumptions!$B$5</f>
        <v>31710</v>
      </c>
      <c r="D10" s="13" t="n">
        <f aca="false">'Source Rates'!E10*Assumptions!$B$5</f>
        <v>36240</v>
      </c>
      <c r="E10" s="13" t="n">
        <f aca="false">'Source Rates'!F10*Assumptions!$B$5</f>
        <v>46810</v>
      </c>
      <c r="F10" s="13" t="n">
        <f aca="false">'Source Rates'!G10*Assumptions!$B$5</f>
        <v>55870</v>
      </c>
      <c r="G10" s="13" t="n">
        <f aca="false">'Source Rates'!H10*Assumptions!$B$5</f>
        <v>75500</v>
      </c>
      <c r="H10" s="13" t="n">
        <f aca="false">'Source Rates'!I10*Assumptions!$B$5</f>
        <v>96640</v>
      </c>
      <c r="I10" s="13" t="n">
        <f aca="false">'Source Rates'!J10*Assumptions!$B$5</f>
        <v>126840</v>
      </c>
      <c r="J10" s="13" t="n">
        <f aca="false">'Source Rates'!K10*Assumptions!$B$5</f>
        <v>176670</v>
      </c>
      <c r="K10" s="13" t="n">
        <f aca="false">'Source Rates'!L10*Assumptions!$B$5</f>
        <v>226500</v>
      </c>
    </row>
    <row r="11" customFormat="false" ht="15" hidden="false" customHeight="false" outlineLevel="0" collapsed="false">
      <c r="A11" s="9" t="s">
        <v>48</v>
      </c>
      <c r="B11" s="10" t="s">
        <v>39</v>
      </c>
      <c r="C11" s="13" t="n">
        <f aca="false">'Source Rates'!D11*Assumptions!$B$4</f>
        <v>31395</v>
      </c>
      <c r="D11" s="13" t="n">
        <f aca="false">'Source Rates'!E11*Assumptions!$B$4</f>
        <v>35490</v>
      </c>
      <c r="E11" s="13" t="n">
        <f aca="false">'Source Rates'!F11*Assumptions!$B$4</f>
        <v>43680</v>
      </c>
      <c r="F11" s="13" t="n">
        <f aca="false">'Source Rates'!G11*Assumptions!$B$4</f>
        <v>50505</v>
      </c>
      <c r="G11" s="13" t="n">
        <f aca="false">'Source Rates'!H11*Assumptions!$B$4</f>
        <v>66885</v>
      </c>
      <c r="H11" s="13" t="n">
        <f aca="false">'Source Rates'!I11*Assumptions!$B$4</f>
        <v>84630</v>
      </c>
      <c r="I11" s="13" t="n">
        <f aca="false">'Source Rates'!J11*Assumptions!$B$4</f>
        <v>114660</v>
      </c>
      <c r="J11" s="13" t="n">
        <f aca="false">'Source Rates'!K11*Assumptions!$B$4</f>
        <v>165165</v>
      </c>
      <c r="K11" s="13" t="n">
        <f aca="false">'Source Rates'!L11*Assumptions!$B$4</f>
        <v>215670</v>
      </c>
    </row>
    <row r="12" customFormat="false" ht="15" hidden="false" customHeight="false" outlineLevel="0" collapsed="false">
      <c r="A12" s="9" t="s">
        <v>50</v>
      </c>
      <c r="B12" s="10" t="s">
        <v>39</v>
      </c>
      <c r="C12" s="13" t="n">
        <f aca="false">'Source Rates'!D12*Assumptions!$B$4</f>
        <v>31395</v>
      </c>
      <c r="D12" s="13" t="n">
        <f aca="false">'Source Rates'!E12*Assumptions!$B$4</f>
        <v>35490</v>
      </c>
      <c r="E12" s="13" t="n">
        <f aca="false">'Source Rates'!F12*Assumptions!$B$4</f>
        <v>43680</v>
      </c>
      <c r="F12" s="13" t="n">
        <f aca="false">'Source Rates'!G12*Assumptions!$B$4</f>
        <v>50505</v>
      </c>
      <c r="G12" s="13" t="n">
        <f aca="false">'Source Rates'!H12*Assumptions!$B$4</f>
        <v>66885</v>
      </c>
      <c r="H12" s="13" t="n">
        <f aca="false">'Source Rates'!I12*Assumptions!$B$4</f>
        <v>84630</v>
      </c>
      <c r="I12" s="13" t="n">
        <f aca="false">'Source Rates'!J12*Assumptions!$B$4</f>
        <v>114660</v>
      </c>
      <c r="J12" s="13" t="n">
        <f aca="false">'Source Rates'!K12*Assumptions!$B$4</f>
        <v>165165</v>
      </c>
      <c r="K12" s="13" t="n">
        <f aca="false">'Source Rates'!L12*Assumptions!$B$4</f>
        <v>215670</v>
      </c>
    </row>
    <row r="13" customFormat="false" ht="15" hidden="false" customHeight="false" outlineLevel="0" collapsed="false">
      <c r="A13" s="9" t="s">
        <v>51</v>
      </c>
      <c r="B13" s="10" t="s">
        <v>39</v>
      </c>
      <c r="C13" s="13" t="n">
        <f aca="false">'Source Rates'!D13*Assumptions!$B$4</f>
        <v>31395</v>
      </c>
      <c r="D13" s="13" t="n">
        <f aca="false">'Source Rates'!E13*Assumptions!$B$4</f>
        <v>35490</v>
      </c>
      <c r="E13" s="13" t="n">
        <f aca="false">'Source Rates'!F13*Assumptions!$B$4</f>
        <v>43680</v>
      </c>
      <c r="F13" s="13" t="n">
        <f aca="false">'Source Rates'!G13*Assumptions!$B$4</f>
        <v>50505</v>
      </c>
      <c r="G13" s="13" t="n">
        <f aca="false">'Source Rates'!H13*Assumptions!$B$4</f>
        <v>66885</v>
      </c>
      <c r="H13" s="13" t="n">
        <f aca="false">'Source Rates'!I13*Assumptions!$B$4</f>
        <v>84630</v>
      </c>
      <c r="I13" s="13" t="n">
        <f aca="false">'Source Rates'!J13*Assumptions!$B$4</f>
        <v>114660</v>
      </c>
      <c r="J13" s="13" t="n">
        <f aca="false">'Source Rates'!K13*Assumptions!$B$4</f>
        <v>165165</v>
      </c>
      <c r="K13" s="13" t="n">
        <f aca="false">'Source Rates'!L13*Assumptions!$B$4</f>
        <v>215670</v>
      </c>
    </row>
    <row r="14" customFormat="false" ht="15" hidden="false" customHeight="false" outlineLevel="0" collapsed="false">
      <c r="A14" s="9" t="s">
        <v>52</v>
      </c>
      <c r="B14" s="10" t="s">
        <v>39</v>
      </c>
      <c r="C14" s="13" t="n">
        <f aca="false">'Source Rates'!D14*Assumptions!$B$4</f>
        <v>31395</v>
      </c>
      <c r="D14" s="13" t="n">
        <f aca="false">'Source Rates'!E14*Assumptions!$B$4</f>
        <v>35490</v>
      </c>
      <c r="E14" s="13" t="n">
        <f aca="false">'Source Rates'!F14*Assumptions!$B$4</f>
        <v>43680</v>
      </c>
      <c r="F14" s="13" t="n">
        <f aca="false">'Source Rates'!G14*Assumptions!$B$4</f>
        <v>50505</v>
      </c>
      <c r="G14" s="13" t="n">
        <f aca="false">'Source Rates'!H14*Assumptions!$B$4</f>
        <v>66885</v>
      </c>
      <c r="H14" s="13" t="n">
        <f aca="false">'Source Rates'!I14*Assumptions!$B$4</f>
        <v>84630</v>
      </c>
      <c r="I14" s="13" t="n">
        <f aca="false">'Source Rates'!J14*Assumptions!$B$4</f>
        <v>114660</v>
      </c>
      <c r="J14" s="13" t="n">
        <f aca="false">'Source Rates'!K14*Assumptions!$B$4</f>
        <v>165165</v>
      </c>
      <c r="K14" s="13" t="n">
        <f aca="false">'Source Rates'!L14*Assumptions!$B$4</f>
        <v>215670</v>
      </c>
    </row>
    <row r="15" customFormat="false" ht="15" hidden="false" customHeight="false" outlineLevel="0" collapsed="false">
      <c r="A15" s="9" t="s">
        <v>54</v>
      </c>
      <c r="B15" s="10" t="s">
        <v>39</v>
      </c>
      <c r="C15" s="13" t="n">
        <f aca="false">'Source Rates'!D15*Assumptions!$B$4</f>
        <v>31395</v>
      </c>
      <c r="D15" s="13" t="n">
        <f aca="false">'Source Rates'!E15*Assumptions!$B$4</f>
        <v>35490</v>
      </c>
      <c r="E15" s="13" t="n">
        <f aca="false">'Source Rates'!F15*Assumptions!$B$4</f>
        <v>43680</v>
      </c>
      <c r="F15" s="13" t="n">
        <f aca="false">'Source Rates'!G15*Assumptions!$B$4</f>
        <v>50505</v>
      </c>
      <c r="G15" s="13" t="n">
        <f aca="false">'Source Rates'!H15*Assumptions!$B$4</f>
        <v>66885</v>
      </c>
      <c r="H15" s="13" t="n">
        <f aca="false">'Source Rates'!I15*Assumptions!$B$4</f>
        <v>84630</v>
      </c>
      <c r="I15" s="13" t="n">
        <f aca="false">'Source Rates'!J15*Assumptions!$B$4</f>
        <v>114660</v>
      </c>
      <c r="J15" s="13" t="n">
        <f aca="false">'Source Rates'!K15*Assumptions!$B$4</f>
        <v>165165</v>
      </c>
      <c r="K15" s="13" t="n">
        <f aca="false">'Source Rates'!L15*Assumptions!$B$4</f>
        <v>215670</v>
      </c>
    </row>
    <row r="16" customFormat="false" ht="15" hidden="false" customHeight="false" outlineLevel="0" collapsed="false">
      <c r="A16" s="9" t="s">
        <v>55</v>
      </c>
      <c r="B16" s="10" t="s">
        <v>39</v>
      </c>
      <c r="C16" s="13" t="n">
        <f aca="false">'Source Rates'!D16*Assumptions!$B$4</f>
        <v>36991.5</v>
      </c>
      <c r="D16" s="13" t="n">
        <f aca="false">'Source Rates'!E16*Assumptions!$B$4</f>
        <v>43680</v>
      </c>
      <c r="E16" s="13" t="n">
        <f aca="false">'Source Rates'!F16*Assumptions!$B$4</f>
        <v>57193.5</v>
      </c>
      <c r="F16" s="13" t="n">
        <f aca="false">'Source Rates'!G16*Assumptions!$B$4</f>
        <v>69478.5</v>
      </c>
      <c r="G16" s="13" t="n">
        <f aca="false">'Source Rates'!H16*Assumptions!$B$4</f>
        <v>103603.5</v>
      </c>
      <c r="H16" s="13" t="n">
        <f aca="false">'Source Rates'!I16*Assumptions!$B$4</f>
        <v>137728.5</v>
      </c>
      <c r="I16" s="13" t="n">
        <f aca="false">'Source Rates'!J16*Assumptions!$B$4</f>
        <v>188643</v>
      </c>
      <c r="J16" s="13" t="n">
        <f aca="false">'Source Rates'!K16*Assumptions!$B$4</f>
        <v>273136.5</v>
      </c>
      <c r="K16" s="13" t="n">
        <f aca="false">'Source Rates'!L16*Assumptions!$B$4</f>
        <v>358176</v>
      </c>
    </row>
    <row r="17" customFormat="false" ht="15" hidden="false" customHeight="false" outlineLevel="0" collapsed="false">
      <c r="A17" s="9" t="s">
        <v>57</v>
      </c>
      <c r="B17" s="10" t="s">
        <v>39</v>
      </c>
      <c r="C17" s="13" t="n">
        <f aca="false">'Source Rates'!D17*Assumptions!$B$4</f>
        <v>36991.5</v>
      </c>
      <c r="D17" s="13" t="n">
        <f aca="false">'Source Rates'!E17*Assumptions!$B$4</f>
        <v>43680</v>
      </c>
      <c r="E17" s="13" t="n">
        <f aca="false">'Source Rates'!F17*Assumptions!$B$4</f>
        <v>57193.5</v>
      </c>
      <c r="F17" s="13" t="n">
        <f aca="false">'Source Rates'!G17*Assumptions!$B$4</f>
        <v>69478.5</v>
      </c>
      <c r="G17" s="13" t="n">
        <f aca="false">'Source Rates'!H17*Assumptions!$B$4</f>
        <v>103603.5</v>
      </c>
      <c r="H17" s="13" t="n">
        <f aca="false">'Source Rates'!I17*Assumptions!$B$4</f>
        <v>137728.5</v>
      </c>
      <c r="I17" s="13" t="n">
        <f aca="false">'Source Rates'!J17*Assumptions!$B$4</f>
        <v>188643</v>
      </c>
      <c r="J17" s="13" t="n">
        <f aca="false">'Source Rates'!K17*Assumptions!$B$4</f>
        <v>273136.5</v>
      </c>
      <c r="K17" s="13" t="n">
        <f aca="false">'Source Rates'!L17*Assumptions!$B$4</f>
        <v>358176</v>
      </c>
    </row>
    <row r="18" customFormat="false" ht="15" hidden="false" customHeight="false" outlineLevel="0" collapsed="false">
      <c r="A18" s="9" t="s">
        <v>58</v>
      </c>
      <c r="B18" s="10" t="s">
        <v>39</v>
      </c>
      <c r="C18" s="13" t="n">
        <f aca="false">'Source Rates'!D18*Assumptions!$B$4</f>
        <v>36991.5</v>
      </c>
      <c r="D18" s="13" t="n">
        <f aca="false">'Source Rates'!E18*Assumptions!$B$4</f>
        <v>43680</v>
      </c>
      <c r="E18" s="13" t="n">
        <f aca="false">'Source Rates'!F18*Assumptions!$B$4</f>
        <v>57193.5</v>
      </c>
      <c r="F18" s="13" t="n">
        <f aca="false">'Source Rates'!G18*Assumptions!$B$4</f>
        <v>69478.5</v>
      </c>
      <c r="G18" s="13" t="n">
        <f aca="false">'Source Rates'!H18*Assumptions!$B$4</f>
        <v>103603.5</v>
      </c>
      <c r="H18" s="13" t="n">
        <f aca="false">'Source Rates'!I18*Assumptions!$B$4</f>
        <v>137728.5</v>
      </c>
      <c r="I18" s="13" t="n">
        <f aca="false">'Source Rates'!J18*Assumptions!$B$4</f>
        <v>188643</v>
      </c>
      <c r="J18" s="13" t="n">
        <f aca="false">'Source Rates'!K18*Assumptions!$B$4</f>
        <v>273136.5</v>
      </c>
      <c r="K18" s="13" t="n">
        <f aca="false">'Source Rates'!L18*Assumptions!$B$4</f>
        <v>358176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11" min="3" style="0" width="11"/>
  </cols>
  <sheetData>
    <row r="1" customFormat="false" ht="17.3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62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4" t="n">
        <f aca="false">'Rates in KRW'!C5*Assumptions!$B$7</f>
        <v>1921.92</v>
      </c>
      <c r="D5" s="14" t="n">
        <f aca="false">'Rates in KRW'!D5*Assumptions!$B$7</f>
        <v>2446.08</v>
      </c>
      <c r="E5" s="14" t="n">
        <f aca="false">'Rates in KRW'!E5*Assumptions!$B$7</f>
        <v>3407.04</v>
      </c>
      <c r="F5" s="14" t="n">
        <f aca="false">'Rates in KRW'!F5*Assumptions!$B$7</f>
        <v>4368</v>
      </c>
      <c r="G5" s="14" t="n">
        <f aca="false">'Rates in KRW'!G5*Assumptions!$B$7</f>
        <v>6289.92</v>
      </c>
      <c r="H5" s="14" t="n">
        <f aca="false">'Rates in KRW'!H5*Assumptions!$B$7</f>
        <v>8299.2</v>
      </c>
      <c r="I5" s="14" t="n">
        <f aca="false">'Rates in KRW'!I5*Assumptions!$B$7</f>
        <v>11182.08</v>
      </c>
      <c r="J5" s="14" t="n">
        <f aca="false">'Rates in KRW'!J5*Assumptions!$B$7</f>
        <v>16074.24</v>
      </c>
      <c r="K5" s="14" t="n">
        <f aca="false">'Rates in KRW'!K5*Assumptions!$B$7</f>
        <v>20966.4</v>
      </c>
    </row>
    <row r="6" customFormat="false" ht="15" hidden="false" customHeight="false" outlineLevel="0" collapsed="false">
      <c r="A6" s="9" t="s">
        <v>41</v>
      </c>
      <c r="B6" s="10" t="s">
        <v>42</v>
      </c>
      <c r="C6" s="14" t="n">
        <f aca="false">'Rates in KRW'!C6*Assumptions!$B$7</f>
        <v>2358.72</v>
      </c>
      <c r="D6" s="14" t="n">
        <f aca="false">'Rates in KRW'!D6*Assumptions!$B$7</f>
        <v>2695.68</v>
      </c>
      <c r="E6" s="14" t="n">
        <f aca="false">'Rates in KRW'!E6*Assumptions!$B$7</f>
        <v>3257.28</v>
      </c>
      <c r="F6" s="14" t="n">
        <f aca="false">'Rates in KRW'!F6*Assumptions!$B$7</f>
        <v>3706.56</v>
      </c>
      <c r="G6" s="14" t="n">
        <f aca="false">'Rates in KRW'!G6*Assumptions!$B$7</f>
        <v>4717.44</v>
      </c>
      <c r="H6" s="14" t="n">
        <f aca="false">'Rates in KRW'!H6*Assumptions!$B$7</f>
        <v>5840.64</v>
      </c>
      <c r="I6" s="14" t="n">
        <f aca="false">'Rates in KRW'!I6*Assumptions!$B$7</f>
        <v>7637.76</v>
      </c>
      <c r="J6" s="14" t="n">
        <f aca="false">'Rates in KRW'!J6*Assumptions!$B$7</f>
        <v>10670.4</v>
      </c>
      <c r="K6" s="14" t="n">
        <f aca="false">'Rates in KRW'!K6*Assumptions!$B$7</f>
        <v>13703.04</v>
      </c>
    </row>
    <row r="7" customFormat="false" ht="15" hidden="false" customHeight="false" outlineLevel="0" collapsed="false">
      <c r="A7" s="9" t="s">
        <v>43</v>
      </c>
      <c r="B7" s="10" t="s">
        <v>39</v>
      </c>
      <c r="C7" s="14" t="n">
        <f aca="false">'Rates in KRW'!C7*Assumptions!$B$7</f>
        <v>1223.04</v>
      </c>
      <c r="D7" s="14" t="n">
        <f aca="false">'Rates in KRW'!D7*Assumptions!$B$7</f>
        <v>1397.76</v>
      </c>
      <c r="E7" s="14" t="n">
        <f aca="false">'Rates in KRW'!E7*Assumptions!$B$7</f>
        <v>1659.84</v>
      </c>
      <c r="F7" s="14" t="n">
        <f aca="false">'Rates in KRW'!F7*Assumptions!$B$7</f>
        <v>1834.56</v>
      </c>
      <c r="G7" s="14" t="n">
        <f aca="false">'Rates in KRW'!G7*Assumptions!$B$7</f>
        <v>2271.36</v>
      </c>
      <c r="H7" s="14" t="n">
        <f aca="false">'Rates in KRW'!H7*Assumptions!$B$7</f>
        <v>2708.16</v>
      </c>
      <c r="I7" s="14" t="n">
        <f aca="false">'Rates in KRW'!I7*Assumptions!$B$7</f>
        <v>3494.4</v>
      </c>
      <c r="J7" s="14" t="n">
        <f aca="false">'Rates in KRW'!J7*Assumptions!$B$7</f>
        <v>4892.16</v>
      </c>
      <c r="K7" s="14" t="n">
        <f aca="false">'Rates in KRW'!K7*Assumptions!$B$7</f>
        <v>6202.56</v>
      </c>
    </row>
    <row r="8" customFormat="false" ht="15" hidden="false" customHeight="false" outlineLevel="0" collapsed="false">
      <c r="A8" s="9" t="s">
        <v>44</v>
      </c>
      <c r="B8" s="10" t="s">
        <v>45</v>
      </c>
      <c r="C8" s="14" t="n">
        <f aca="false">'Rates in KRW'!C8*Assumptions!$B$7</f>
        <v>1894.144</v>
      </c>
      <c r="D8" s="14" t="n">
        <f aca="false">'Rates in KRW'!D8*Assumptions!$B$7</f>
        <v>2145.408</v>
      </c>
      <c r="E8" s="14" t="n">
        <f aca="false">'Rates in KRW'!E8*Assumptions!$B$7</f>
        <v>2657.6</v>
      </c>
      <c r="F8" s="14" t="n">
        <f aca="false">'Rates in KRW'!F8*Assumptions!$B$7</f>
        <v>3131.136</v>
      </c>
      <c r="G8" s="14" t="n">
        <f aca="false">'Rates in KRW'!G8*Assumptions!$B$7</f>
        <v>4107.2</v>
      </c>
      <c r="H8" s="14" t="n">
        <f aca="false">'Rates in KRW'!H8*Assumptions!$B$7</f>
        <v>5131.584</v>
      </c>
      <c r="I8" s="14" t="n">
        <f aca="false">'Rates in KRW'!I8*Assumptions!$B$7</f>
        <v>7083.712</v>
      </c>
      <c r="J8" s="14" t="n">
        <f aca="false">'Rates in KRW'!J8*Assumptions!$B$7</f>
        <v>10282.496</v>
      </c>
      <c r="K8" s="14" t="n">
        <f aca="false">'Rates in KRW'!K8*Assumptions!$B$7</f>
        <v>13519.936</v>
      </c>
    </row>
    <row r="9" customFormat="false" ht="15" hidden="false" customHeight="false" outlineLevel="0" collapsed="false">
      <c r="A9" s="9" t="s">
        <v>46</v>
      </c>
      <c r="B9" s="10" t="s">
        <v>45</v>
      </c>
      <c r="C9" s="14" t="n">
        <f aca="false">'Rates in KRW'!C9*Assumptions!$B$7</f>
        <v>2222.72</v>
      </c>
      <c r="D9" s="14" t="n">
        <f aca="false">'Rates in KRW'!D9*Assumptions!$B$7</f>
        <v>2541.632</v>
      </c>
      <c r="E9" s="14" t="n">
        <f aca="false">'Rates in KRW'!E9*Assumptions!$B$7</f>
        <v>3160.128</v>
      </c>
      <c r="F9" s="14" t="n">
        <f aca="false">'Rates in KRW'!F9*Assumptions!$B$7</f>
        <v>3672.32</v>
      </c>
      <c r="G9" s="14" t="n">
        <f aca="false">'Rates in KRW'!G9*Assumptions!$B$7</f>
        <v>4725.696</v>
      </c>
      <c r="H9" s="14" t="n">
        <f aca="false">'Rates in KRW'!H9*Assumptions!$B$7</f>
        <v>5808.064</v>
      </c>
      <c r="I9" s="14" t="n">
        <f aca="false">'Rates in KRW'!I9*Assumptions!$B$7</f>
        <v>7673.216</v>
      </c>
      <c r="J9" s="14" t="n">
        <f aca="false">'Rates in KRW'!J9*Assumptions!$B$7</f>
        <v>10717.376</v>
      </c>
      <c r="K9" s="14" t="n">
        <f aca="false">'Rates in KRW'!K9*Assumptions!$B$7</f>
        <v>13800.192</v>
      </c>
    </row>
    <row r="10" customFormat="false" ht="15" hidden="false" customHeight="false" outlineLevel="0" collapsed="false">
      <c r="A10" s="9" t="s">
        <v>47</v>
      </c>
      <c r="B10" s="10" t="s">
        <v>45</v>
      </c>
      <c r="C10" s="14" t="n">
        <f aca="false">'Rates in KRW'!C10*Assumptions!$B$7</f>
        <v>2029.44</v>
      </c>
      <c r="D10" s="14" t="n">
        <f aca="false">'Rates in KRW'!D10*Assumptions!$B$7</f>
        <v>2319.36</v>
      </c>
      <c r="E10" s="14" t="n">
        <f aca="false">'Rates in KRW'!E10*Assumptions!$B$7</f>
        <v>2995.84</v>
      </c>
      <c r="F10" s="14" t="n">
        <f aca="false">'Rates in KRW'!F10*Assumptions!$B$7</f>
        <v>3575.68</v>
      </c>
      <c r="G10" s="14" t="n">
        <f aca="false">'Rates in KRW'!G10*Assumptions!$B$7</f>
        <v>4832</v>
      </c>
      <c r="H10" s="14" t="n">
        <f aca="false">'Rates in KRW'!H10*Assumptions!$B$7</f>
        <v>6184.96</v>
      </c>
      <c r="I10" s="14" t="n">
        <f aca="false">'Rates in KRW'!I10*Assumptions!$B$7</f>
        <v>8117.76</v>
      </c>
      <c r="J10" s="14" t="n">
        <f aca="false">'Rates in KRW'!J10*Assumptions!$B$7</f>
        <v>11306.88</v>
      </c>
      <c r="K10" s="14" t="n">
        <f aca="false">'Rates in KRW'!K10*Assumptions!$B$7</f>
        <v>14496</v>
      </c>
    </row>
    <row r="11" customFormat="false" ht="15" hidden="false" customHeight="false" outlineLevel="0" collapsed="false">
      <c r="A11" s="9" t="s">
        <v>48</v>
      </c>
      <c r="B11" s="10" t="s">
        <v>39</v>
      </c>
      <c r="C11" s="14" t="n">
        <f aca="false">'Rates in KRW'!C11*Assumptions!$B$7</f>
        <v>2009.28</v>
      </c>
      <c r="D11" s="14" t="n">
        <f aca="false">'Rates in KRW'!D11*Assumptions!$B$7</f>
        <v>2271.36</v>
      </c>
      <c r="E11" s="14" t="n">
        <f aca="false">'Rates in KRW'!E11*Assumptions!$B$7</f>
        <v>2795.52</v>
      </c>
      <c r="F11" s="14" t="n">
        <f aca="false">'Rates in KRW'!F11*Assumptions!$B$7</f>
        <v>3232.32</v>
      </c>
      <c r="G11" s="14" t="n">
        <f aca="false">'Rates in KRW'!G11*Assumptions!$B$7</f>
        <v>4280.64</v>
      </c>
      <c r="H11" s="14" t="n">
        <f aca="false">'Rates in KRW'!H11*Assumptions!$B$7</f>
        <v>5416.32</v>
      </c>
      <c r="I11" s="14" t="n">
        <f aca="false">'Rates in KRW'!I11*Assumptions!$B$7</f>
        <v>7338.24</v>
      </c>
      <c r="J11" s="14" t="n">
        <f aca="false">'Rates in KRW'!J11*Assumptions!$B$7</f>
        <v>10570.56</v>
      </c>
      <c r="K11" s="14" t="n">
        <f aca="false">'Rates in KRW'!K11*Assumptions!$B$7</f>
        <v>13802.88</v>
      </c>
    </row>
    <row r="12" customFormat="false" ht="15" hidden="false" customHeight="false" outlineLevel="0" collapsed="false">
      <c r="A12" s="9" t="s">
        <v>50</v>
      </c>
      <c r="B12" s="10" t="s">
        <v>39</v>
      </c>
      <c r="C12" s="14" t="n">
        <f aca="false">'Rates in KRW'!C12*Assumptions!$B$7</f>
        <v>2009.28</v>
      </c>
      <c r="D12" s="14" t="n">
        <f aca="false">'Rates in KRW'!D12*Assumptions!$B$7</f>
        <v>2271.36</v>
      </c>
      <c r="E12" s="14" t="n">
        <f aca="false">'Rates in KRW'!E12*Assumptions!$B$7</f>
        <v>2795.52</v>
      </c>
      <c r="F12" s="14" t="n">
        <f aca="false">'Rates in KRW'!F12*Assumptions!$B$7</f>
        <v>3232.32</v>
      </c>
      <c r="G12" s="14" t="n">
        <f aca="false">'Rates in KRW'!G12*Assumptions!$B$7</f>
        <v>4280.64</v>
      </c>
      <c r="H12" s="14" t="n">
        <f aca="false">'Rates in KRW'!H12*Assumptions!$B$7</f>
        <v>5416.32</v>
      </c>
      <c r="I12" s="14" t="n">
        <f aca="false">'Rates in KRW'!I12*Assumptions!$B$7</f>
        <v>7338.24</v>
      </c>
      <c r="J12" s="14" t="n">
        <f aca="false">'Rates in KRW'!J12*Assumptions!$B$7</f>
        <v>10570.56</v>
      </c>
      <c r="K12" s="14" t="n">
        <f aca="false">'Rates in KRW'!K12*Assumptions!$B$7</f>
        <v>13802.88</v>
      </c>
    </row>
    <row r="13" customFormat="false" ht="15" hidden="false" customHeight="false" outlineLevel="0" collapsed="false">
      <c r="A13" s="9" t="s">
        <v>51</v>
      </c>
      <c r="B13" s="10" t="s">
        <v>39</v>
      </c>
      <c r="C13" s="14" t="n">
        <f aca="false">'Rates in KRW'!C13*Assumptions!$B$7</f>
        <v>2009.28</v>
      </c>
      <c r="D13" s="14" t="n">
        <f aca="false">'Rates in KRW'!D13*Assumptions!$B$7</f>
        <v>2271.36</v>
      </c>
      <c r="E13" s="14" t="n">
        <f aca="false">'Rates in KRW'!E13*Assumptions!$B$7</f>
        <v>2795.52</v>
      </c>
      <c r="F13" s="14" t="n">
        <f aca="false">'Rates in KRW'!F13*Assumptions!$B$7</f>
        <v>3232.32</v>
      </c>
      <c r="G13" s="14" t="n">
        <f aca="false">'Rates in KRW'!G13*Assumptions!$B$7</f>
        <v>4280.64</v>
      </c>
      <c r="H13" s="14" t="n">
        <f aca="false">'Rates in KRW'!H13*Assumptions!$B$7</f>
        <v>5416.32</v>
      </c>
      <c r="I13" s="14" t="n">
        <f aca="false">'Rates in KRW'!I13*Assumptions!$B$7</f>
        <v>7338.24</v>
      </c>
      <c r="J13" s="14" t="n">
        <f aca="false">'Rates in KRW'!J13*Assumptions!$B$7</f>
        <v>10570.56</v>
      </c>
      <c r="K13" s="14" t="n">
        <f aca="false">'Rates in KRW'!K13*Assumptions!$B$7</f>
        <v>13802.88</v>
      </c>
    </row>
    <row r="14" customFormat="false" ht="15" hidden="false" customHeight="false" outlineLevel="0" collapsed="false">
      <c r="A14" s="9" t="s">
        <v>52</v>
      </c>
      <c r="B14" s="10" t="s">
        <v>39</v>
      </c>
      <c r="C14" s="14" t="n">
        <f aca="false">'Rates in KRW'!C14*Assumptions!$B$7</f>
        <v>2009.28</v>
      </c>
      <c r="D14" s="14" t="n">
        <f aca="false">'Rates in KRW'!D14*Assumptions!$B$7</f>
        <v>2271.36</v>
      </c>
      <c r="E14" s="14" t="n">
        <f aca="false">'Rates in KRW'!E14*Assumptions!$B$7</f>
        <v>2795.52</v>
      </c>
      <c r="F14" s="14" t="n">
        <f aca="false">'Rates in KRW'!F14*Assumptions!$B$7</f>
        <v>3232.32</v>
      </c>
      <c r="G14" s="14" t="n">
        <f aca="false">'Rates in KRW'!G14*Assumptions!$B$7</f>
        <v>4280.64</v>
      </c>
      <c r="H14" s="14" t="n">
        <f aca="false">'Rates in KRW'!H14*Assumptions!$B$7</f>
        <v>5416.32</v>
      </c>
      <c r="I14" s="14" t="n">
        <f aca="false">'Rates in KRW'!I14*Assumptions!$B$7</f>
        <v>7338.24</v>
      </c>
      <c r="J14" s="14" t="n">
        <f aca="false">'Rates in KRW'!J14*Assumptions!$B$7</f>
        <v>10570.56</v>
      </c>
      <c r="K14" s="14" t="n">
        <f aca="false">'Rates in KRW'!K14*Assumptions!$B$7</f>
        <v>13802.88</v>
      </c>
    </row>
    <row r="15" customFormat="false" ht="15" hidden="false" customHeight="false" outlineLevel="0" collapsed="false">
      <c r="A15" s="9" t="s">
        <v>54</v>
      </c>
      <c r="B15" s="10" t="s">
        <v>39</v>
      </c>
      <c r="C15" s="14" t="n">
        <f aca="false">'Rates in KRW'!C15*Assumptions!$B$7</f>
        <v>2009.28</v>
      </c>
      <c r="D15" s="14" t="n">
        <f aca="false">'Rates in KRW'!D15*Assumptions!$B$7</f>
        <v>2271.36</v>
      </c>
      <c r="E15" s="14" t="n">
        <f aca="false">'Rates in KRW'!E15*Assumptions!$B$7</f>
        <v>2795.52</v>
      </c>
      <c r="F15" s="14" t="n">
        <f aca="false">'Rates in KRW'!F15*Assumptions!$B$7</f>
        <v>3232.32</v>
      </c>
      <c r="G15" s="14" t="n">
        <f aca="false">'Rates in KRW'!G15*Assumptions!$B$7</f>
        <v>4280.64</v>
      </c>
      <c r="H15" s="14" t="n">
        <f aca="false">'Rates in KRW'!H15*Assumptions!$B$7</f>
        <v>5416.32</v>
      </c>
      <c r="I15" s="14" t="n">
        <f aca="false">'Rates in KRW'!I15*Assumptions!$B$7</f>
        <v>7338.24</v>
      </c>
      <c r="J15" s="14" t="n">
        <f aca="false">'Rates in KRW'!J15*Assumptions!$B$7</f>
        <v>10570.56</v>
      </c>
      <c r="K15" s="14" t="n">
        <f aca="false">'Rates in KRW'!K15*Assumptions!$B$7</f>
        <v>13802.88</v>
      </c>
    </row>
    <row r="16" customFormat="false" ht="15" hidden="false" customHeight="false" outlineLevel="0" collapsed="false">
      <c r="A16" s="9" t="s">
        <v>55</v>
      </c>
      <c r="B16" s="10" t="s">
        <v>39</v>
      </c>
      <c r="C16" s="14" t="n">
        <f aca="false">'Rates in KRW'!C16*Assumptions!$B$7</f>
        <v>2367.456</v>
      </c>
      <c r="D16" s="14" t="n">
        <f aca="false">'Rates in KRW'!D16*Assumptions!$B$7</f>
        <v>2795.52</v>
      </c>
      <c r="E16" s="14" t="n">
        <f aca="false">'Rates in KRW'!E16*Assumptions!$B$7</f>
        <v>3660.384</v>
      </c>
      <c r="F16" s="14" t="n">
        <f aca="false">'Rates in KRW'!F16*Assumptions!$B$7</f>
        <v>4446.624</v>
      </c>
      <c r="G16" s="14" t="n">
        <f aca="false">'Rates in KRW'!G16*Assumptions!$B$7</f>
        <v>6630.624</v>
      </c>
      <c r="H16" s="14" t="n">
        <f aca="false">'Rates in KRW'!H16*Assumptions!$B$7</f>
        <v>8814.624</v>
      </c>
      <c r="I16" s="14" t="n">
        <f aca="false">'Rates in KRW'!I16*Assumptions!$B$7</f>
        <v>12073.152</v>
      </c>
      <c r="J16" s="14" t="n">
        <f aca="false">'Rates in KRW'!J16*Assumptions!$B$7</f>
        <v>17480.736</v>
      </c>
      <c r="K16" s="14" t="n">
        <f aca="false">'Rates in KRW'!K16*Assumptions!$B$7</f>
        <v>22923.264</v>
      </c>
    </row>
    <row r="17" customFormat="false" ht="15" hidden="false" customHeight="false" outlineLevel="0" collapsed="false">
      <c r="A17" s="9" t="s">
        <v>57</v>
      </c>
      <c r="B17" s="10" t="s">
        <v>39</v>
      </c>
      <c r="C17" s="14" t="n">
        <f aca="false">'Rates in KRW'!C17*Assumptions!$B$7</f>
        <v>2367.456</v>
      </c>
      <c r="D17" s="14" t="n">
        <f aca="false">'Rates in KRW'!D17*Assumptions!$B$7</f>
        <v>2795.52</v>
      </c>
      <c r="E17" s="14" t="n">
        <f aca="false">'Rates in KRW'!E17*Assumptions!$B$7</f>
        <v>3660.384</v>
      </c>
      <c r="F17" s="14" t="n">
        <f aca="false">'Rates in KRW'!F17*Assumptions!$B$7</f>
        <v>4446.624</v>
      </c>
      <c r="G17" s="14" t="n">
        <f aca="false">'Rates in KRW'!G17*Assumptions!$B$7</f>
        <v>6630.624</v>
      </c>
      <c r="H17" s="14" t="n">
        <f aca="false">'Rates in KRW'!H17*Assumptions!$B$7</f>
        <v>8814.624</v>
      </c>
      <c r="I17" s="14" t="n">
        <f aca="false">'Rates in KRW'!I17*Assumptions!$B$7</f>
        <v>12073.152</v>
      </c>
      <c r="J17" s="14" t="n">
        <f aca="false">'Rates in KRW'!J17*Assumptions!$B$7</f>
        <v>17480.736</v>
      </c>
      <c r="K17" s="14" t="n">
        <f aca="false">'Rates in KRW'!K17*Assumptions!$B$7</f>
        <v>22923.264</v>
      </c>
    </row>
    <row r="18" customFormat="false" ht="15" hidden="false" customHeight="false" outlineLevel="0" collapsed="false">
      <c r="A18" s="9" t="s">
        <v>58</v>
      </c>
      <c r="B18" s="10" t="s">
        <v>39</v>
      </c>
      <c r="C18" s="14" t="n">
        <f aca="false">'Rates in KRW'!C18*Assumptions!$B$7</f>
        <v>2367.456</v>
      </c>
      <c r="D18" s="14" t="n">
        <f aca="false">'Rates in KRW'!D18*Assumptions!$B$7</f>
        <v>2795.52</v>
      </c>
      <c r="E18" s="14" t="n">
        <f aca="false">'Rates in KRW'!E18*Assumptions!$B$7</f>
        <v>3660.384</v>
      </c>
      <c r="F18" s="14" t="n">
        <f aca="false">'Rates in KRW'!F18*Assumptions!$B$7</f>
        <v>4446.624</v>
      </c>
      <c r="G18" s="14" t="n">
        <f aca="false">'Rates in KRW'!G18*Assumptions!$B$7</f>
        <v>6630.624</v>
      </c>
      <c r="H18" s="14" t="n">
        <f aca="false">'Rates in KRW'!H18*Assumptions!$B$7</f>
        <v>8814.624</v>
      </c>
      <c r="I18" s="14" t="n">
        <f aca="false">'Rates in KRW'!I18*Assumptions!$B$7</f>
        <v>12073.152</v>
      </c>
      <c r="J18" s="14" t="n">
        <f aca="false">'Rates in KRW'!J18*Assumptions!$B$7</f>
        <v>17480.736</v>
      </c>
      <c r="K18" s="14" t="n">
        <f aca="false">'Rates in KRW'!K18*Assumptions!$B$7</f>
        <v>22923.264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11" min="3" style="0" width="11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64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</row>
    <row r="5" customFormat="false" ht="15" hidden="false" customHeight="false" outlineLevel="0" collapsed="false">
      <c r="A5" s="9" t="s">
        <v>38</v>
      </c>
      <c r="B5" s="10" t="s">
        <v>39</v>
      </c>
      <c r="C5" s="14" t="n">
        <f aca="false">'Rates in INR'!C5*(1+Assumptions!$B$10)</f>
        <v>2306.304</v>
      </c>
      <c r="D5" s="14" t="n">
        <f aca="false">'Rates in INR'!D5*(1+Assumptions!$B$10)</f>
        <v>2935.296</v>
      </c>
      <c r="E5" s="14" t="n">
        <f aca="false">'Rates in INR'!E5*(1+Assumptions!$B$10)</f>
        <v>4088.448</v>
      </c>
      <c r="F5" s="14" t="n">
        <f aca="false">'Rates in INR'!F5*(1+Assumptions!$B$10)</f>
        <v>5241.6</v>
      </c>
      <c r="G5" s="14" t="n">
        <f aca="false">'Rates in INR'!G5*(1+Assumptions!$B$10)</f>
        <v>7547.904</v>
      </c>
      <c r="H5" s="14" t="n">
        <f aca="false">'Rates in INR'!H5*(1+Assumptions!$B$10)</f>
        <v>9959.04</v>
      </c>
      <c r="I5" s="14" t="n">
        <f aca="false">'Rates in INR'!I5*(1+Assumptions!$B$10)</f>
        <v>13418.496</v>
      </c>
      <c r="J5" s="14" t="n">
        <f aca="false">'Rates in INR'!J5*(1+Assumptions!$B$10)</f>
        <v>19289.088</v>
      </c>
      <c r="K5" s="14" t="n">
        <f aca="false">'Rates in INR'!K5*(1+Assumptions!$B$10)</f>
        <v>25159.68</v>
      </c>
    </row>
    <row r="6" customFormat="false" ht="15" hidden="false" customHeight="false" outlineLevel="0" collapsed="false">
      <c r="A6" s="9" t="s">
        <v>41</v>
      </c>
      <c r="B6" s="10" t="s">
        <v>42</v>
      </c>
      <c r="C6" s="14" t="n">
        <f aca="false">'Rates in INR'!C6*(1+Assumptions!$B$10)</f>
        <v>2830.464</v>
      </c>
      <c r="D6" s="14" t="n">
        <f aca="false">'Rates in INR'!D6*(1+Assumptions!$B$10)</f>
        <v>3234.816</v>
      </c>
      <c r="E6" s="14" t="n">
        <f aca="false">'Rates in INR'!E6*(1+Assumptions!$B$10)</f>
        <v>3908.736</v>
      </c>
      <c r="F6" s="14" t="n">
        <f aca="false">'Rates in INR'!F6*(1+Assumptions!$B$10)</f>
        <v>4447.872</v>
      </c>
      <c r="G6" s="14" t="n">
        <f aca="false">'Rates in INR'!G6*(1+Assumptions!$B$10)</f>
        <v>5660.928</v>
      </c>
      <c r="H6" s="14" t="n">
        <f aca="false">'Rates in INR'!H6*(1+Assumptions!$B$10)</f>
        <v>7008.768</v>
      </c>
      <c r="I6" s="14" t="n">
        <f aca="false">'Rates in INR'!I6*(1+Assumptions!$B$10)</f>
        <v>9165.312</v>
      </c>
      <c r="J6" s="14" t="n">
        <f aca="false">'Rates in INR'!J6*(1+Assumptions!$B$10)</f>
        <v>12804.48</v>
      </c>
      <c r="K6" s="14" t="n">
        <f aca="false">'Rates in INR'!K6*(1+Assumptions!$B$10)</f>
        <v>16443.648</v>
      </c>
    </row>
    <row r="7" customFormat="false" ht="15" hidden="false" customHeight="false" outlineLevel="0" collapsed="false">
      <c r="A7" s="9" t="s">
        <v>43</v>
      </c>
      <c r="B7" s="10" t="s">
        <v>39</v>
      </c>
      <c r="C7" s="14" t="n">
        <f aca="false">'Rates in INR'!C7*(1+Assumptions!$B$10)</f>
        <v>1467.648</v>
      </c>
      <c r="D7" s="14" t="n">
        <f aca="false">'Rates in INR'!D7*(1+Assumptions!$B$10)</f>
        <v>1677.312</v>
      </c>
      <c r="E7" s="14" t="n">
        <f aca="false">'Rates in INR'!E7*(1+Assumptions!$B$10)</f>
        <v>1991.808</v>
      </c>
      <c r="F7" s="14" t="n">
        <f aca="false">'Rates in INR'!F7*(1+Assumptions!$B$10)</f>
        <v>2201.472</v>
      </c>
      <c r="G7" s="14" t="n">
        <f aca="false">'Rates in INR'!G7*(1+Assumptions!$B$10)</f>
        <v>2725.632</v>
      </c>
      <c r="H7" s="14" t="n">
        <f aca="false">'Rates in INR'!H7*(1+Assumptions!$B$10)</f>
        <v>3249.792</v>
      </c>
      <c r="I7" s="14" t="n">
        <f aca="false">'Rates in INR'!I7*(1+Assumptions!$B$10)</f>
        <v>4193.28</v>
      </c>
      <c r="J7" s="14" t="n">
        <f aca="false">'Rates in INR'!J7*(1+Assumptions!$B$10)</f>
        <v>5870.592</v>
      </c>
      <c r="K7" s="14" t="n">
        <f aca="false">'Rates in INR'!K7*(1+Assumptions!$B$10)</f>
        <v>7443.072</v>
      </c>
    </row>
    <row r="8" customFormat="false" ht="15" hidden="false" customHeight="false" outlineLevel="0" collapsed="false">
      <c r="A8" s="9" t="s">
        <v>44</v>
      </c>
      <c r="B8" s="10" t="s">
        <v>45</v>
      </c>
      <c r="C8" s="14" t="n">
        <f aca="false">'Rates in INR'!C8*(1+Assumptions!$B$10)</f>
        <v>2272.9728</v>
      </c>
      <c r="D8" s="14" t="n">
        <f aca="false">'Rates in INR'!D8*(1+Assumptions!$B$10)</f>
        <v>2574.4896</v>
      </c>
      <c r="E8" s="14" t="n">
        <f aca="false">'Rates in INR'!E8*(1+Assumptions!$B$10)</f>
        <v>3189.12</v>
      </c>
      <c r="F8" s="14" t="n">
        <f aca="false">'Rates in INR'!F8*(1+Assumptions!$B$10)</f>
        <v>3757.3632</v>
      </c>
      <c r="G8" s="14" t="n">
        <f aca="false">'Rates in INR'!G8*(1+Assumptions!$B$10)</f>
        <v>4928.64</v>
      </c>
      <c r="H8" s="14" t="n">
        <f aca="false">'Rates in INR'!H8*(1+Assumptions!$B$10)</f>
        <v>6157.9008</v>
      </c>
      <c r="I8" s="14" t="n">
        <f aca="false">'Rates in INR'!I8*(1+Assumptions!$B$10)</f>
        <v>8500.4544</v>
      </c>
      <c r="J8" s="14" t="n">
        <f aca="false">'Rates in INR'!J8*(1+Assumptions!$B$10)</f>
        <v>12338.9952</v>
      </c>
      <c r="K8" s="14" t="n">
        <f aca="false">'Rates in INR'!K8*(1+Assumptions!$B$10)</f>
        <v>16223.9232</v>
      </c>
    </row>
    <row r="9" customFormat="false" ht="15" hidden="false" customHeight="false" outlineLevel="0" collapsed="false">
      <c r="A9" s="9" t="s">
        <v>46</v>
      </c>
      <c r="B9" s="10" t="s">
        <v>45</v>
      </c>
      <c r="C9" s="14" t="n">
        <f aca="false">'Rates in INR'!C9*(1+Assumptions!$B$10)</f>
        <v>2667.264</v>
      </c>
      <c r="D9" s="14" t="n">
        <f aca="false">'Rates in INR'!D9*(1+Assumptions!$B$10)</f>
        <v>3049.9584</v>
      </c>
      <c r="E9" s="14" t="n">
        <f aca="false">'Rates in INR'!E9*(1+Assumptions!$B$10)</f>
        <v>3792.1536</v>
      </c>
      <c r="F9" s="14" t="n">
        <f aca="false">'Rates in INR'!F9*(1+Assumptions!$B$10)</f>
        <v>4406.784</v>
      </c>
      <c r="G9" s="14" t="n">
        <f aca="false">'Rates in INR'!G9*(1+Assumptions!$B$10)</f>
        <v>5670.8352</v>
      </c>
      <c r="H9" s="14" t="n">
        <f aca="false">'Rates in INR'!H9*(1+Assumptions!$B$10)</f>
        <v>6969.6768</v>
      </c>
      <c r="I9" s="14" t="n">
        <f aca="false">'Rates in INR'!I9*(1+Assumptions!$B$10)</f>
        <v>9207.8592</v>
      </c>
      <c r="J9" s="14" t="n">
        <f aca="false">'Rates in INR'!J9*(1+Assumptions!$B$10)</f>
        <v>12860.8512</v>
      </c>
      <c r="K9" s="14" t="n">
        <f aca="false">'Rates in INR'!K9*(1+Assumptions!$B$10)</f>
        <v>16560.2304</v>
      </c>
    </row>
    <row r="10" customFormat="false" ht="15" hidden="false" customHeight="false" outlineLevel="0" collapsed="false">
      <c r="A10" s="9" t="s">
        <v>47</v>
      </c>
      <c r="B10" s="10" t="s">
        <v>45</v>
      </c>
      <c r="C10" s="14" t="n">
        <f aca="false">'Rates in INR'!C10*(1+Assumptions!$B$10)</f>
        <v>2435.328</v>
      </c>
      <c r="D10" s="14" t="n">
        <f aca="false">'Rates in INR'!D10*(1+Assumptions!$B$10)</f>
        <v>2783.232</v>
      </c>
      <c r="E10" s="14" t="n">
        <f aca="false">'Rates in INR'!E10*(1+Assumptions!$B$10)</f>
        <v>3595.008</v>
      </c>
      <c r="F10" s="14" t="n">
        <f aca="false">'Rates in INR'!F10*(1+Assumptions!$B$10)</f>
        <v>4290.816</v>
      </c>
      <c r="G10" s="14" t="n">
        <f aca="false">'Rates in INR'!G10*(1+Assumptions!$B$10)</f>
        <v>5798.4</v>
      </c>
      <c r="H10" s="14" t="n">
        <f aca="false">'Rates in INR'!H10*(1+Assumptions!$B$10)</f>
        <v>7421.952</v>
      </c>
      <c r="I10" s="14" t="n">
        <f aca="false">'Rates in INR'!I10*(1+Assumptions!$B$10)</f>
        <v>9741.312</v>
      </c>
      <c r="J10" s="14" t="n">
        <f aca="false">'Rates in INR'!J10*(1+Assumptions!$B$10)</f>
        <v>13568.256</v>
      </c>
      <c r="K10" s="14" t="n">
        <f aca="false">'Rates in INR'!K10*(1+Assumptions!$B$10)</f>
        <v>17395.2</v>
      </c>
    </row>
    <row r="11" customFormat="false" ht="15" hidden="false" customHeight="false" outlineLevel="0" collapsed="false">
      <c r="A11" s="9" t="s">
        <v>48</v>
      </c>
      <c r="B11" s="10" t="s">
        <v>39</v>
      </c>
      <c r="C11" s="14" t="n">
        <f aca="false">'Rates in INR'!C11*(1+Assumptions!$B$10)</f>
        <v>2411.136</v>
      </c>
      <c r="D11" s="14" t="n">
        <f aca="false">'Rates in INR'!D11*(1+Assumptions!$B$10)</f>
        <v>2725.632</v>
      </c>
      <c r="E11" s="14" t="n">
        <f aca="false">'Rates in INR'!E11*(1+Assumptions!$B$10)</f>
        <v>3354.624</v>
      </c>
      <c r="F11" s="14" t="n">
        <f aca="false">'Rates in INR'!F11*(1+Assumptions!$B$10)</f>
        <v>3878.784</v>
      </c>
      <c r="G11" s="14" t="n">
        <f aca="false">'Rates in INR'!G11*(1+Assumptions!$B$10)</f>
        <v>5136.768</v>
      </c>
      <c r="H11" s="14" t="n">
        <f aca="false">'Rates in INR'!H11*(1+Assumptions!$B$10)</f>
        <v>6499.584</v>
      </c>
      <c r="I11" s="14" t="n">
        <f aca="false">'Rates in INR'!I11*(1+Assumptions!$B$10)</f>
        <v>8805.888</v>
      </c>
      <c r="J11" s="14" t="n">
        <f aca="false">'Rates in INR'!J11*(1+Assumptions!$B$10)</f>
        <v>12684.672</v>
      </c>
      <c r="K11" s="14" t="n">
        <f aca="false">'Rates in INR'!K11*(1+Assumptions!$B$10)</f>
        <v>16563.456</v>
      </c>
    </row>
    <row r="12" customFormat="false" ht="15" hidden="false" customHeight="false" outlineLevel="0" collapsed="false">
      <c r="A12" s="9" t="s">
        <v>50</v>
      </c>
      <c r="B12" s="10" t="s">
        <v>39</v>
      </c>
      <c r="C12" s="14" t="n">
        <f aca="false">'Rates in INR'!C12*(1+Assumptions!$B$10)</f>
        <v>2411.136</v>
      </c>
      <c r="D12" s="14" t="n">
        <f aca="false">'Rates in INR'!D12*(1+Assumptions!$B$10)</f>
        <v>2725.632</v>
      </c>
      <c r="E12" s="14" t="n">
        <f aca="false">'Rates in INR'!E12*(1+Assumptions!$B$10)</f>
        <v>3354.624</v>
      </c>
      <c r="F12" s="14" t="n">
        <f aca="false">'Rates in INR'!F12*(1+Assumptions!$B$10)</f>
        <v>3878.784</v>
      </c>
      <c r="G12" s="14" t="n">
        <f aca="false">'Rates in INR'!G12*(1+Assumptions!$B$10)</f>
        <v>5136.768</v>
      </c>
      <c r="H12" s="14" t="n">
        <f aca="false">'Rates in INR'!H12*(1+Assumptions!$B$10)</f>
        <v>6499.584</v>
      </c>
      <c r="I12" s="14" t="n">
        <f aca="false">'Rates in INR'!I12*(1+Assumptions!$B$10)</f>
        <v>8805.888</v>
      </c>
      <c r="J12" s="14" t="n">
        <f aca="false">'Rates in INR'!J12*(1+Assumptions!$B$10)</f>
        <v>12684.672</v>
      </c>
      <c r="K12" s="14" t="n">
        <f aca="false">'Rates in INR'!K12*(1+Assumptions!$B$10)</f>
        <v>16563.456</v>
      </c>
    </row>
    <row r="13" customFormat="false" ht="15" hidden="false" customHeight="false" outlineLevel="0" collapsed="false">
      <c r="A13" s="9" t="s">
        <v>51</v>
      </c>
      <c r="B13" s="10" t="s">
        <v>39</v>
      </c>
      <c r="C13" s="14" t="n">
        <f aca="false">'Rates in INR'!C13*(1+Assumptions!$B$10)</f>
        <v>2411.136</v>
      </c>
      <c r="D13" s="14" t="n">
        <f aca="false">'Rates in INR'!D13*(1+Assumptions!$B$10)</f>
        <v>2725.632</v>
      </c>
      <c r="E13" s="14" t="n">
        <f aca="false">'Rates in INR'!E13*(1+Assumptions!$B$10)</f>
        <v>3354.624</v>
      </c>
      <c r="F13" s="14" t="n">
        <f aca="false">'Rates in INR'!F13*(1+Assumptions!$B$10)</f>
        <v>3878.784</v>
      </c>
      <c r="G13" s="14" t="n">
        <f aca="false">'Rates in INR'!G13*(1+Assumptions!$B$10)</f>
        <v>5136.768</v>
      </c>
      <c r="H13" s="14" t="n">
        <f aca="false">'Rates in INR'!H13*(1+Assumptions!$B$10)</f>
        <v>6499.584</v>
      </c>
      <c r="I13" s="14" t="n">
        <f aca="false">'Rates in INR'!I13*(1+Assumptions!$B$10)</f>
        <v>8805.888</v>
      </c>
      <c r="J13" s="14" t="n">
        <f aca="false">'Rates in INR'!J13*(1+Assumptions!$B$10)</f>
        <v>12684.672</v>
      </c>
      <c r="K13" s="14" t="n">
        <f aca="false">'Rates in INR'!K13*(1+Assumptions!$B$10)</f>
        <v>16563.456</v>
      </c>
    </row>
    <row r="14" customFormat="false" ht="15" hidden="false" customHeight="false" outlineLevel="0" collapsed="false">
      <c r="A14" s="9" t="s">
        <v>52</v>
      </c>
      <c r="B14" s="10" t="s">
        <v>39</v>
      </c>
      <c r="C14" s="14" t="n">
        <f aca="false">'Rates in INR'!C14*(1+Assumptions!$B$10)</f>
        <v>2411.136</v>
      </c>
      <c r="D14" s="14" t="n">
        <f aca="false">'Rates in INR'!D14*(1+Assumptions!$B$10)</f>
        <v>2725.632</v>
      </c>
      <c r="E14" s="14" t="n">
        <f aca="false">'Rates in INR'!E14*(1+Assumptions!$B$10)</f>
        <v>3354.624</v>
      </c>
      <c r="F14" s="14" t="n">
        <f aca="false">'Rates in INR'!F14*(1+Assumptions!$B$10)</f>
        <v>3878.784</v>
      </c>
      <c r="G14" s="14" t="n">
        <f aca="false">'Rates in INR'!G14*(1+Assumptions!$B$10)</f>
        <v>5136.768</v>
      </c>
      <c r="H14" s="14" t="n">
        <f aca="false">'Rates in INR'!H14*(1+Assumptions!$B$10)</f>
        <v>6499.584</v>
      </c>
      <c r="I14" s="14" t="n">
        <f aca="false">'Rates in INR'!I14*(1+Assumptions!$B$10)</f>
        <v>8805.888</v>
      </c>
      <c r="J14" s="14" t="n">
        <f aca="false">'Rates in INR'!J14*(1+Assumptions!$B$10)</f>
        <v>12684.672</v>
      </c>
      <c r="K14" s="14" t="n">
        <f aca="false">'Rates in INR'!K14*(1+Assumptions!$B$10)</f>
        <v>16563.456</v>
      </c>
    </row>
    <row r="15" customFormat="false" ht="15" hidden="false" customHeight="false" outlineLevel="0" collapsed="false">
      <c r="A15" s="9" t="s">
        <v>54</v>
      </c>
      <c r="B15" s="10" t="s">
        <v>39</v>
      </c>
      <c r="C15" s="14" t="n">
        <f aca="false">'Rates in INR'!C15*(1+Assumptions!$B$10)</f>
        <v>2411.136</v>
      </c>
      <c r="D15" s="14" t="n">
        <f aca="false">'Rates in INR'!D15*(1+Assumptions!$B$10)</f>
        <v>2725.632</v>
      </c>
      <c r="E15" s="14" t="n">
        <f aca="false">'Rates in INR'!E15*(1+Assumptions!$B$10)</f>
        <v>3354.624</v>
      </c>
      <c r="F15" s="14" t="n">
        <f aca="false">'Rates in INR'!F15*(1+Assumptions!$B$10)</f>
        <v>3878.784</v>
      </c>
      <c r="G15" s="14" t="n">
        <f aca="false">'Rates in INR'!G15*(1+Assumptions!$B$10)</f>
        <v>5136.768</v>
      </c>
      <c r="H15" s="14" t="n">
        <f aca="false">'Rates in INR'!H15*(1+Assumptions!$B$10)</f>
        <v>6499.584</v>
      </c>
      <c r="I15" s="14" t="n">
        <f aca="false">'Rates in INR'!I15*(1+Assumptions!$B$10)</f>
        <v>8805.888</v>
      </c>
      <c r="J15" s="14" t="n">
        <f aca="false">'Rates in INR'!J15*(1+Assumptions!$B$10)</f>
        <v>12684.672</v>
      </c>
      <c r="K15" s="14" t="n">
        <f aca="false">'Rates in INR'!K15*(1+Assumptions!$B$10)</f>
        <v>16563.456</v>
      </c>
    </row>
    <row r="16" customFormat="false" ht="15" hidden="false" customHeight="false" outlineLevel="0" collapsed="false">
      <c r="A16" s="9" t="s">
        <v>55</v>
      </c>
      <c r="B16" s="10" t="s">
        <v>39</v>
      </c>
      <c r="C16" s="14" t="n">
        <f aca="false">'Rates in INR'!C16*(1+Assumptions!$B$10)</f>
        <v>2840.9472</v>
      </c>
      <c r="D16" s="14" t="n">
        <f aca="false">'Rates in INR'!D16*(1+Assumptions!$B$10)</f>
        <v>3354.624</v>
      </c>
      <c r="E16" s="14" t="n">
        <f aca="false">'Rates in INR'!E16*(1+Assumptions!$B$10)</f>
        <v>4392.4608</v>
      </c>
      <c r="F16" s="14" t="n">
        <f aca="false">'Rates in INR'!F16*(1+Assumptions!$B$10)</f>
        <v>5335.9488</v>
      </c>
      <c r="G16" s="14" t="n">
        <f aca="false">'Rates in INR'!G16*(1+Assumptions!$B$10)</f>
        <v>7956.7488</v>
      </c>
      <c r="H16" s="14" t="n">
        <f aca="false">'Rates in INR'!H16*(1+Assumptions!$B$10)</f>
        <v>10577.5488</v>
      </c>
      <c r="I16" s="14" t="n">
        <f aca="false">'Rates in INR'!I16*(1+Assumptions!$B$10)</f>
        <v>14487.7824</v>
      </c>
      <c r="J16" s="14" t="n">
        <f aca="false">'Rates in INR'!J16*(1+Assumptions!$B$10)</f>
        <v>20976.8832</v>
      </c>
      <c r="K16" s="14" t="n">
        <f aca="false">'Rates in INR'!K16*(1+Assumptions!$B$10)</f>
        <v>27507.9168</v>
      </c>
    </row>
    <row r="17" customFormat="false" ht="15" hidden="false" customHeight="false" outlineLevel="0" collapsed="false">
      <c r="A17" s="9" t="s">
        <v>57</v>
      </c>
      <c r="B17" s="10" t="s">
        <v>39</v>
      </c>
      <c r="C17" s="14" t="n">
        <f aca="false">'Rates in INR'!C17*(1+Assumptions!$B$10)</f>
        <v>2840.9472</v>
      </c>
      <c r="D17" s="14" t="n">
        <f aca="false">'Rates in INR'!D17*(1+Assumptions!$B$10)</f>
        <v>3354.624</v>
      </c>
      <c r="E17" s="14" t="n">
        <f aca="false">'Rates in INR'!E17*(1+Assumptions!$B$10)</f>
        <v>4392.4608</v>
      </c>
      <c r="F17" s="14" t="n">
        <f aca="false">'Rates in INR'!F17*(1+Assumptions!$B$10)</f>
        <v>5335.9488</v>
      </c>
      <c r="G17" s="14" t="n">
        <f aca="false">'Rates in INR'!G17*(1+Assumptions!$B$10)</f>
        <v>7956.7488</v>
      </c>
      <c r="H17" s="14" t="n">
        <f aca="false">'Rates in INR'!H17*(1+Assumptions!$B$10)</f>
        <v>10577.5488</v>
      </c>
      <c r="I17" s="14" t="n">
        <f aca="false">'Rates in INR'!I17*(1+Assumptions!$B$10)</f>
        <v>14487.7824</v>
      </c>
      <c r="J17" s="14" t="n">
        <f aca="false">'Rates in INR'!J17*(1+Assumptions!$B$10)</f>
        <v>20976.8832</v>
      </c>
      <c r="K17" s="14" t="n">
        <f aca="false">'Rates in INR'!K17*(1+Assumptions!$B$10)</f>
        <v>27507.9168</v>
      </c>
    </row>
    <row r="18" customFormat="false" ht="15" hidden="false" customHeight="false" outlineLevel="0" collapsed="false">
      <c r="A18" s="9" t="s">
        <v>58</v>
      </c>
      <c r="B18" s="10" t="s">
        <v>39</v>
      </c>
      <c r="C18" s="14" t="n">
        <f aca="false">'Rates in INR'!C18*(1+Assumptions!$B$10)</f>
        <v>2840.9472</v>
      </c>
      <c r="D18" s="14" t="n">
        <f aca="false">'Rates in INR'!D18*(1+Assumptions!$B$10)</f>
        <v>3354.624</v>
      </c>
      <c r="E18" s="14" t="n">
        <f aca="false">'Rates in INR'!E18*(1+Assumptions!$B$10)</f>
        <v>4392.4608</v>
      </c>
      <c r="F18" s="14" t="n">
        <f aca="false">'Rates in INR'!F18*(1+Assumptions!$B$10)</f>
        <v>5335.9488</v>
      </c>
      <c r="G18" s="14" t="n">
        <f aca="false">'Rates in INR'!G18*(1+Assumptions!$B$10)</f>
        <v>7956.7488</v>
      </c>
      <c r="H18" s="14" t="n">
        <f aca="false">'Rates in INR'!H18*(1+Assumptions!$B$10)</f>
        <v>10577.5488</v>
      </c>
      <c r="I18" s="14" t="n">
        <f aca="false">'Rates in INR'!I18*(1+Assumptions!$B$10)</f>
        <v>14487.7824</v>
      </c>
      <c r="J18" s="14" t="n">
        <f aca="false">'Rates in INR'!J18*(1+Assumptions!$B$10)</f>
        <v>20976.8832</v>
      </c>
      <c r="K18" s="14" t="n">
        <f aca="false">'Rates in INR'!K18*(1+Assumptions!$B$10)</f>
        <v>27507.9168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2026-05-19T11:53:50Z</dcterms:created>
  <dc:creator>openpyxl</dc:creator>
  <dc:description/>
  <dc:language>en-US</dc:language>
  <cp:lastModifiedBy/>
  <dcterms:modified xsi:type="dcterms:W3CDTF">2026-05-19T11:53:50Z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